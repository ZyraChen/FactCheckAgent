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rch\Desktop\"/>
    </mc:Choice>
  </mc:AlternateContent>
  <xr:revisionPtr revIDLastSave="0" documentId="13_ncr:1_{1F590A89-7C39-43B2-A1BA-33FA9492FEC4}" xr6:coauthVersionLast="47" xr6:coauthVersionMax="47" xr10:uidLastSave="{00000000-0000-0000-0000-000000000000}"/>
  <bookViews>
    <workbookView xWindow="-110" yWindow="-110" windowWidth="25820" windowHeight="15500" xr2:uid="{B8495770-5A22-4FA0-BCB0-2D521CFBD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7" i="1"/>
  <c r="E11" i="1"/>
  <c r="E12" i="1"/>
  <c r="E13" i="1"/>
  <c r="E10" i="1"/>
  <c r="C13" i="1"/>
  <c r="D13" i="1"/>
  <c r="B13" i="1"/>
  <c r="D17" i="1"/>
  <c r="D18" i="1"/>
  <c r="D16" i="1"/>
  <c r="B19" i="1"/>
  <c r="C19" i="1"/>
  <c r="E19" i="1"/>
  <c r="E17" i="1"/>
  <c r="E18" i="1"/>
  <c r="E16" i="1"/>
  <c r="D11" i="1"/>
  <c r="D10" i="1"/>
  <c r="B10" i="1"/>
  <c r="C10" i="1"/>
  <c r="B11" i="1"/>
  <c r="C11" i="1"/>
  <c r="C18" i="1"/>
  <c r="C16" i="1"/>
  <c r="B16" i="1"/>
  <c r="C17" i="1"/>
  <c r="B17" i="1"/>
  <c r="C7" i="1"/>
  <c r="B7" i="1"/>
  <c r="A7" i="1"/>
  <c r="C12" i="1"/>
  <c r="D12" i="1"/>
</calcChain>
</file>

<file path=xl/sharedStrings.xml><?xml version="1.0" encoding="utf-8"?>
<sst xmlns="http://schemas.openxmlformats.org/spreadsheetml/2006/main" count="29" uniqueCount="17">
  <si>
    <t>Qwen3-max</t>
    <phoneticPr fontId="1" type="noConversion"/>
  </si>
  <si>
    <t>model</t>
    <phoneticPr fontId="1" type="noConversion"/>
  </si>
  <si>
    <t>search strategy</t>
    <phoneticPr fontId="1" type="noConversion"/>
  </si>
  <si>
    <t>max</t>
    <phoneticPr fontId="1" type="noConversion"/>
  </si>
  <si>
    <t>forced_search</t>
    <phoneticPr fontId="1" type="noConversion"/>
  </si>
  <si>
    <t>enable_search</t>
    <phoneticPr fontId="1" type="noConversion"/>
  </si>
  <si>
    <t>setup</t>
    <phoneticPr fontId="1" type="noConversion"/>
  </si>
  <si>
    <t>Grounded Truth</t>
    <phoneticPr fontId="1" type="noConversion"/>
  </si>
  <si>
    <t>Supported</t>
    <phoneticPr fontId="1" type="noConversion"/>
  </si>
  <si>
    <t>Refuted</t>
    <phoneticPr fontId="1" type="noConversion"/>
  </si>
  <si>
    <t>Not Enough Evidence</t>
    <phoneticPr fontId="1" type="noConversion"/>
  </si>
  <si>
    <t>Accuracy</t>
    <phoneticPr fontId="1" type="noConversion"/>
  </si>
  <si>
    <t>Grounded Truth\Predictions</t>
    <phoneticPr fontId="1" type="noConversion"/>
  </si>
  <si>
    <t>correct predictions</t>
    <phoneticPr fontId="1" type="noConversion"/>
  </si>
  <si>
    <t>incorrect predictions</t>
    <phoneticPr fontId="1" type="noConversion"/>
  </si>
  <si>
    <t>accuracy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</si>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</sst>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CDB7-61AA-4D0D-9552-C2EDFB4003E4}">
  <dimension ref="A1:E19"/>
  <sheetViews>
    <sheetView tabSelected="1" workbookViewId="0">
      <selection activeCell="C10" sqref="C10"/>
    </sheetView>
  </sheetViews>
  <sheetFormatPr defaultRowHeight="14"/>
  <cols>
    <col min="1" max="1" width="28.58203125" customWidth="1"/>
    <col min="2" max="2" width="26.33203125" customWidth="1"/>
    <col min="3" max="3" width="27.83203125" customWidth="1"/>
    <col min="4" max="4" width="21.5" customWidth="1"/>
    <col min="5" max="5" width="14.83203125" customWidth="1"/>
  </cols>
  <sheetData>
    <row r="1" spans="1:5" ht="25.5" customHeight="1">
      <c r="A1" s="2" t="s">
        <v>6</v>
      </c>
      <c r="B1" s="2"/>
      <c r="C1" s="2"/>
      <c r="D1" s="2"/>
    </row>
    <row r="2" spans="1:5" ht="25.5" customHeight="1">
      <c r="A2" s="1" t="s">
        <v>1</v>
      </c>
      <c r="B2" s="1" t="s">
        <v>5</v>
      </c>
      <c r="C2" s="1" t="s">
        <v>4</v>
      </c>
      <c r="D2" s="1" t="s">
        <v>2</v>
      </c>
    </row>
    <row r="3" spans="1:5" ht="25.5" customHeight="1">
      <c r="A3" s="1" t="s">
        <v>0</v>
      </c>
      <c r="B3" s="1" t="b">
        <v>1</v>
      </c>
      <c r="C3" s="1" t="b">
        <v>1</v>
      </c>
      <c r="D3" s="1" t="s">
        <v>3</v>
      </c>
    </row>
    <row r="4" spans="1:5" ht="25.5" customHeight="1">
      <c r="A4" s="1"/>
      <c r="B4" s="1"/>
      <c r="C4" s="1"/>
      <c r="D4" s="1"/>
    </row>
    <row r="6" spans="1:5" ht="25.5" customHeight="1">
      <c r="A6" s="1" t="s">
        <v>13</v>
      </c>
      <c r="B6" s="1" t="s">
        <v>14</v>
      </c>
      <c r="C6" s="1" t="s">
        <v>15</v>
      </c>
      <c r="D6" s="1" t="s">
        <v>16</v>
      </c>
    </row>
    <row r="7" spans="1:5" ht="25.5" customHeight="1">
      <c r="A7" s="1">
        <f>64+55+66+53+69+65+68+18</f>
        <v>458</v>
      </c>
      <c r="B7" s="1">
        <f>36+41+34+44+26+26+32+19</f>
        <v>258</v>
      </c>
      <c r="C7" s="1">
        <f>A7/(A7+B7)</f>
        <v>0.63966480446927376</v>
      </c>
      <c r="D7" s="1">
        <f>A7+B7</f>
        <v>716</v>
      </c>
    </row>
    <row r="9" spans="1:5" ht="25.5" customHeight="1">
      <c r="A9" s="1" t="s">
        <v>12</v>
      </c>
      <c r="B9" s="1" t="s">
        <v>8</v>
      </c>
      <c r="C9" s="1" t="s">
        <v>9</v>
      </c>
      <c r="D9" s="1" t="s">
        <v>10</v>
      </c>
      <c r="E9" s="1" t="s">
        <v>16</v>
      </c>
    </row>
    <row r="10" spans="1:5" ht="25.5" customHeight="1">
      <c r="A10" s="1" t="s">
        <v>8</v>
      </c>
      <c r="B10" s="1">
        <f>23+18+3+24+59+48+5</f>
        <v>180</v>
      </c>
      <c r="C10" s="1">
        <f>6+14+6+3+13+22+12+4</f>
        <v>80</v>
      </c>
      <c r="D10" s="1">
        <f>4+6+8+5+4+4+2</f>
        <v>33</v>
      </c>
      <c r="E10" s="1">
        <f>B10+C10+D10</f>
        <v>293</v>
      </c>
    </row>
    <row r="11" spans="1:5" ht="25.5" customHeight="1">
      <c r="A11" s="1" t="s">
        <v>9</v>
      </c>
      <c r="B11" s="1">
        <f>20+9+8+8+6+13+8</f>
        <v>72</v>
      </c>
      <c r="C11" s="1">
        <f>41+37+66+50+45+6+18+13</f>
        <v>276</v>
      </c>
      <c r="D11" s="1">
        <f>13+5+13+25+2+2+5</f>
        <v>65</v>
      </c>
      <c r="E11" s="1">
        <f t="shared" ref="E11:E13" si="0">B11+C11+D11</f>
        <v>413</v>
      </c>
    </row>
    <row r="12" spans="1:5" ht="25.5" customHeight="1">
      <c r="A12" s="1" t="s">
        <v>10</v>
      </c>
      <c r="B12" s="1">
        <v>2</v>
      </c>
      <c r="C12" s="1">
        <f>3+1+1+1</f>
        <v>6</v>
      </c>
      <c r="D12" s="1">
        <f>2</f>
        <v>2</v>
      </c>
      <c r="E12" s="1">
        <f t="shared" si="0"/>
        <v>10</v>
      </c>
    </row>
    <row r="13" spans="1:5" ht="25.5" customHeight="1">
      <c r="A13" s="1" t="s">
        <v>16</v>
      </c>
      <c r="B13" s="1">
        <f>B10+B11+B12</f>
        <v>254</v>
      </c>
      <c r="C13" s="1">
        <f t="shared" ref="C13:D13" si="1">C10+C11+C12</f>
        <v>362</v>
      </c>
      <c r="D13" s="1">
        <f t="shared" si="1"/>
        <v>100</v>
      </c>
      <c r="E13" s="1">
        <f t="shared" si="0"/>
        <v>716</v>
      </c>
    </row>
    <row r="15" spans="1:5" ht="25.5" customHeight="1">
      <c r="A15" s="1" t="s">
        <v>7</v>
      </c>
      <c r="B15" s="1" t="s">
        <v>13</v>
      </c>
      <c r="C15" s="1" t="s">
        <v>14</v>
      </c>
      <c r="D15" s="1" t="s">
        <v>11</v>
      </c>
      <c r="E15" s="1" t="s">
        <v>16</v>
      </c>
    </row>
    <row r="16" spans="1:5" ht="25.5" customHeight="1">
      <c r="A16" s="1" t="s">
        <v>8</v>
      </c>
      <c r="B16" s="1">
        <f>23+18+3+24+59+48+5</f>
        <v>180</v>
      </c>
      <c r="C16" s="1">
        <f>6+18+12+11+18+26+16+6</f>
        <v>113</v>
      </c>
      <c r="D16" s="1">
        <f>B16/(C16+B16)</f>
        <v>0.61433447098976113</v>
      </c>
      <c r="E16" s="1">
        <f>B16+C16</f>
        <v>293</v>
      </c>
    </row>
    <row r="17" spans="1:5" ht="25.5" customHeight="1">
      <c r="A17" s="1" t="s">
        <v>9</v>
      </c>
      <c r="B17" s="1">
        <f>41+37+66+50+45+6+18+13</f>
        <v>276</v>
      </c>
      <c r="C17" s="1">
        <f>25+22+21+33+8+15+13</f>
        <v>137</v>
      </c>
      <c r="D17" s="1">
        <f t="shared" ref="D17:D18" si="2">B17/(C17+B17)</f>
        <v>0.66828087167070216</v>
      </c>
      <c r="E17" s="1">
        <f t="shared" ref="E17:E18" si="3">B17+C17</f>
        <v>413</v>
      </c>
    </row>
    <row r="18" spans="1:5" ht="25.5" customHeight="1">
      <c r="A18" s="1" t="s">
        <v>10</v>
      </c>
      <c r="B18" s="1">
        <v>2</v>
      </c>
      <c r="C18" s="1">
        <f>5+1+1+1</f>
        <v>8</v>
      </c>
      <c r="D18" s="1">
        <f t="shared" si="2"/>
        <v>0.2</v>
      </c>
      <c r="E18" s="1">
        <f t="shared" si="3"/>
        <v>10</v>
      </c>
    </row>
    <row r="19" spans="1:5" ht="25.5" customHeight="1">
      <c r="A19" s="1" t="s">
        <v>16</v>
      </c>
      <c r="B19" s="1">
        <f t="shared" ref="B19:D19" si="4">B16+B17+B18</f>
        <v>458</v>
      </c>
      <c r="C19" s="1">
        <f t="shared" si="4"/>
        <v>258</v>
      </c>
      <c r="D19" s="1">
        <f>(D16+D17+D18)/3</f>
        <v>0.49420511422015445</v>
      </c>
      <c r="E19" s="1">
        <f>E16+E17+E18</f>
        <v>716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梓溶 陈</dc:creator>
  <cp:lastModifiedBy>梓溶 陈</cp:lastModifiedBy>
  <dcterms:created xsi:type="dcterms:W3CDTF">2025-12-18T04:49:44Z</dcterms:created>
  <dcterms:modified xsi:type="dcterms:W3CDTF">2025-12-18T05:28:00Z</dcterms:modified>
</cp:coreProperties>
</file>